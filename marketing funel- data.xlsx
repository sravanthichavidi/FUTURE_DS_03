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4ac05fc7290a00/Documents/"/>
    </mc:Choice>
  </mc:AlternateContent>
  <xr:revisionPtr revIDLastSave="137" documentId="8_{06E7C8D5-99D2-414D-90D2-EE2D392F509D}" xr6:coauthVersionLast="47" xr6:coauthVersionMax="47" xr10:uidLastSave="{5CD9B1A7-F381-4824-9CD1-CC080D2108BE}"/>
  <bookViews>
    <workbookView xWindow="-108" yWindow="-108" windowWidth="23256" windowHeight="12456" activeTab="2" xr2:uid="{DB27ADB4-8338-4567-BE08-A0B97BA9142E}"/>
  </bookViews>
  <sheets>
    <sheet name="Sheet1" sheetId="1" r:id="rId1"/>
    <sheet name="Cost Revenue Summary" sheetId="4" r:id="rId2"/>
    <sheet name="Funnel Summary" sheetId="2" r:id="rId3"/>
    <sheet name="performance Analysis" sheetId="3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2" i="4"/>
  <c r="C3" i="4"/>
  <c r="C4" i="4"/>
  <c r="C5" i="4"/>
  <c r="C6" i="4"/>
  <c r="C7" i="4"/>
  <c r="C8" i="4"/>
  <c r="C2" i="4"/>
  <c r="B3" i="4"/>
  <c r="B4" i="4"/>
  <c r="B5" i="4"/>
  <c r="B6" i="4"/>
  <c r="B7" i="4"/>
  <c r="B8" i="4"/>
  <c r="B2" i="4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3" i="1"/>
  <c r="I4" i="1"/>
  <c r="I5" i="1"/>
  <c r="I6" i="1"/>
  <c r="I7" i="1"/>
  <c r="I8" i="1"/>
  <c r="I9" i="1"/>
  <c r="I10" i="1"/>
  <c r="I2" i="1"/>
  <c r="C3" i="3"/>
  <c r="C4" i="3"/>
  <c r="C5" i="3"/>
  <c r="C6" i="3"/>
  <c r="C2" i="3"/>
  <c r="B3" i="3"/>
  <c r="B4" i="3"/>
  <c r="B5" i="3"/>
  <c r="B6" i="3"/>
  <c r="B2" i="3"/>
  <c r="D3" i="2"/>
  <c r="D4" i="2"/>
  <c r="D5" i="2"/>
  <c r="D6" i="2"/>
  <c r="D7" i="2"/>
  <c r="D8" i="2"/>
  <c r="D2" i="2"/>
  <c r="C3" i="2"/>
  <c r="C4" i="2"/>
  <c r="C5" i="2"/>
  <c r="C6" i="2"/>
  <c r="C7" i="2"/>
  <c r="C8" i="2"/>
  <c r="C2" i="2"/>
  <c r="B3" i="2"/>
  <c r="B4" i="2"/>
  <c r="B5" i="2"/>
  <c r="B6" i="2"/>
  <c r="B7" i="2"/>
  <c r="B8" i="2"/>
  <c r="B2" i="2"/>
  <c r="D3" i="3" l="1"/>
  <c r="D5" i="3"/>
  <c r="D2" i="3"/>
  <c r="D6" i="3"/>
  <c r="D4" i="3"/>
</calcChain>
</file>

<file path=xl/sharedStrings.xml><?xml version="1.0" encoding="utf-8"?>
<sst xmlns="http://schemas.openxmlformats.org/spreadsheetml/2006/main" count="121" uniqueCount="78">
  <si>
    <t>Campaign Name</t>
  </si>
  <si>
    <t>Funnel Stage</t>
  </si>
  <si>
    <t>Channel</t>
  </si>
  <si>
    <t>Visitors/Leads</t>
  </si>
  <si>
    <t>Conversions</t>
  </si>
  <si>
    <t>Conversion Rate (%)</t>
  </si>
  <si>
    <t>Cost ($)</t>
  </si>
  <si>
    <t>Revenue ($)</t>
  </si>
  <si>
    <t>Campaign 1</t>
  </si>
  <si>
    <t>Awareness</t>
  </si>
  <si>
    <t>Facebook Ads</t>
  </si>
  <si>
    <t>Campaign 2</t>
  </si>
  <si>
    <t>Google Ads</t>
  </si>
  <si>
    <t>Campaign 3</t>
  </si>
  <si>
    <t>Instagram Ads</t>
  </si>
  <si>
    <t>Campaign 4</t>
  </si>
  <si>
    <t>Interest</t>
  </si>
  <si>
    <t>Website Organic</t>
  </si>
  <si>
    <t>Campaign 5</t>
  </si>
  <si>
    <t>Email Marketing</t>
  </si>
  <si>
    <t>Campaign 6</t>
  </si>
  <si>
    <t>LinkedIn Ads</t>
  </si>
  <si>
    <t>Campaign 7</t>
  </si>
  <si>
    <t>Consideration</t>
  </si>
  <si>
    <t>Website Retargeting</t>
  </si>
  <si>
    <t>Campaign 8</t>
  </si>
  <si>
    <t>Email Nurturing</t>
  </si>
  <si>
    <t>Campaign 9</t>
  </si>
  <si>
    <t>YouTube Ads</t>
  </si>
  <si>
    <t>Campaign 10</t>
  </si>
  <si>
    <t>Referral Traffic</t>
  </si>
  <si>
    <t>Campaign 11</t>
  </si>
  <si>
    <t>Intent</t>
  </si>
  <si>
    <t>Free Trial Signup</t>
  </si>
  <si>
    <t>Campaign 12</t>
  </si>
  <si>
    <t>Demo Request</t>
  </si>
  <si>
    <t>Campaign 13</t>
  </si>
  <si>
    <t>Webinar Signup</t>
  </si>
  <si>
    <t>Campaign 14</t>
  </si>
  <si>
    <t>Landing Page CTA</t>
  </si>
  <si>
    <t>Campaign 15</t>
  </si>
  <si>
    <t>Evaluation</t>
  </si>
  <si>
    <t>Sales Call</t>
  </si>
  <si>
    <t>Campaign 16</t>
  </si>
  <si>
    <t>Product Demo</t>
  </si>
  <si>
    <t>Campaign 17</t>
  </si>
  <si>
    <t>Free Trial Users</t>
  </si>
  <si>
    <t>Campaign 18</t>
  </si>
  <si>
    <t>Decision</t>
  </si>
  <si>
    <t>Checkout Page</t>
  </si>
  <si>
    <t>Campaign 19</t>
  </si>
  <si>
    <t>Discount Offer</t>
  </si>
  <si>
    <t>Campaign 20</t>
  </si>
  <si>
    <t>Cart Recovery Email</t>
  </si>
  <si>
    <t>Campaign 21</t>
  </si>
  <si>
    <t>Purchase</t>
  </si>
  <si>
    <t>Online Store</t>
  </si>
  <si>
    <t>Campaign 22</t>
  </si>
  <si>
    <t>B2B Contract</t>
  </si>
  <si>
    <t>Campaign 23</t>
  </si>
  <si>
    <t>Subscription Plan</t>
  </si>
  <si>
    <t>Campaign 24</t>
  </si>
  <si>
    <t>Retention</t>
  </si>
  <si>
    <t>Upsell Email</t>
  </si>
  <si>
    <t>Campaign 25</t>
  </si>
  <si>
    <t>Renewal Campaign</t>
  </si>
  <si>
    <t>Total Visitors</t>
  </si>
  <si>
    <t>Total Conversions</t>
  </si>
  <si>
    <t>Conversion Rate(%)</t>
  </si>
  <si>
    <t>Profit</t>
  </si>
  <si>
    <t>Total Cost</t>
  </si>
  <si>
    <t>Total Revenue</t>
  </si>
  <si>
    <t>Awareness stage has the highest traffic but the lowest conversion rate.</t>
  </si>
  <si>
    <t>Conversion efficiency improves as users move towards Purchase and Retention.</t>
  </si>
  <si>
    <t>Google Ads and Email Marketing channels perform better than social media platforms.</t>
  </si>
  <si>
    <t>Maximum drop-off occurs between Consideration and Intent stages.</t>
  </si>
  <si>
    <t>Retention stage generates higher revenue with comparatively lower cost.</t>
  </si>
  <si>
    <t>key 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</si>
</sst>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9" fontId="3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Cost</a:t>
            </a:r>
            <a:r>
              <a:rPr lang="en-IN" baseline="0"/>
              <a:t> vs Revenue by Funnel Stage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Revenue Summary'!$B$1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 Revenue Summary'!$A$2:$A$8</c:f>
              <c:strCache>
                <c:ptCount val="7"/>
                <c:pt idx="0">
                  <c:v>Awareness</c:v>
                </c:pt>
                <c:pt idx="1">
                  <c:v>Interest</c:v>
                </c:pt>
                <c:pt idx="2">
                  <c:v>Consideration</c:v>
                </c:pt>
                <c:pt idx="3">
                  <c:v>Intent</c:v>
                </c:pt>
                <c:pt idx="4">
                  <c:v>Evaluation</c:v>
                </c:pt>
                <c:pt idx="5">
                  <c:v>Purchase</c:v>
                </c:pt>
                <c:pt idx="6">
                  <c:v>Retention</c:v>
                </c:pt>
              </c:strCache>
            </c:strRef>
          </c:cat>
          <c:val>
            <c:numRef>
              <c:f>'Cost Revenue Summary'!$B$2:$B$8</c:f>
              <c:numCache>
                <c:formatCode>General</c:formatCode>
                <c:ptCount val="7"/>
                <c:pt idx="0">
                  <c:v>2450</c:v>
                </c:pt>
                <c:pt idx="1">
                  <c:v>1000</c:v>
                </c:pt>
                <c:pt idx="2">
                  <c:v>1480</c:v>
                </c:pt>
                <c:pt idx="3">
                  <c:v>500</c:v>
                </c:pt>
                <c:pt idx="4">
                  <c:v>0</c:v>
                </c:pt>
                <c:pt idx="5">
                  <c:v>0</c:v>
                </c:pt>
                <c:pt idx="6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5-4D1E-86B3-AF517F518556}"/>
            </c:ext>
          </c:extLst>
        </c:ser>
        <c:ser>
          <c:idx val="1"/>
          <c:order val="1"/>
          <c:tx>
            <c:strRef>
              <c:f>'Cost Revenue Summary'!$C$1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'Cost Revenue Summary'!$A$2:$A$8</c:f>
              <c:strCache>
                <c:ptCount val="7"/>
                <c:pt idx="0">
                  <c:v>Awareness</c:v>
                </c:pt>
                <c:pt idx="1">
                  <c:v>Interest</c:v>
                </c:pt>
                <c:pt idx="2">
                  <c:v>Consideration</c:v>
                </c:pt>
                <c:pt idx="3">
                  <c:v>Intent</c:v>
                </c:pt>
                <c:pt idx="4">
                  <c:v>Evaluation</c:v>
                </c:pt>
                <c:pt idx="5">
                  <c:v>Purchase</c:v>
                </c:pt>
                <c:pt idx="6">
                  <c:v>Retention</c:v>
                </c:pt>
              </c:strCache>
            </c:strRef>
          </c:cat>
          <c:val>
            <c:numRef>
              <c:f>'Cost Revenue Summary'!$C$2:$C$8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22500</c:v>
                </c:pt>
                <c:pt idx="6">
                  <c:v>8100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5-4D1E-86B3-AF517F518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157360"/>
        <c:axId val="945552288"/>
      </c:barChart>
      <c:catAx>
        <c:axId val="83315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52288"/>
        <c:crosses val="autoZero"/>
        <c:auto val="1"/>
        <c:lblAlgn val="ctr"/>
        <c:lblOffset val="100"/>
        <c:noMultiLvlLbl val="0"/>
      </c:catAx>
      <c:valAx>
        <c:axId val="94555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15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'Funnel Summary'!$B$1</c:f>
              <c:strCache>
                <c:ptCount val="1"/>
                <c:pt idx="0">
                  <c:v>Total 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'Funnel Summary'!$A$2:$A$8</c:f>
              <c:strCache>
                <c:ptCount val="7"/>
                <c:pt idx="0">
                  <c:v>Awareness</c:v>
                </c:pt>
                <c:pt idx="1">
                  <c:v>Interest</c:v>
                </c:pt>
                <c:pt idx="2">
                  <c:v>Consideration</c:v>
                </c:pt>
                <c:pt idx="3">
                  <c:v>Intent</c:v>
                </c:pt>
                <c:pt idx="4">
                  <c:v>Evaluation</c:v>
                </c:pt>
                <c:pt idx="5">
                  <c:v>Purchase</c:v>
                </c:pt>
                <c:pt idx="6">
                  <c:v>Retention</c:v>
                </c:pt>
              </c:strCache>
            </c:strRef>
          </c:cat>
          <c:val>
            <c:numRef>
              <c:f>'Funnel Summary'!$B$2:$B$8</c:f>
              <c:numCache>
                <c:formatCode>General</c:formatCode>
                <c:ptCount val="7"/>
                <c:pt idx="0">
                  <c:v>15300</c:v>
                </c:pt>
                <c:pt idx="1">
                  <c:v>8900</c:v>
                </c:pt>
                <c:pt idx="2">
                  <c:v>8800</c:v>
                </c:pt>
                <c:pt idx="3">
                  <c:v>4700</c:v>
                </c:pt>
                <c:pt idx="4">
                  <c:v>1600</c:v>
                </c:pt>
                <c:pt idx="5">
                  <c:v>630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7-4A24-B88E-F2AE67C55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159280"/>
        <c:axId val="919734864"/>
      </c:barChart>
      <c:catAx>
        <c:axId val="83315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734864"/>
        <c:crosses val="autoZero"/>
        <c:auto val="1"/>
        <c:lblAlgn val="ctr"/>
        <c:lblOffset val="100"/>
        <c:noMultiLvlLbl val="0"/>
      </c:catAx>
      <c:valAx>
        <c:axId val="91973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15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Channel-Wise</a:t>
            </a:r>
            <a:r>
              <a:rPr lang="en-IN" baseline="0"/>
              <a:t> Conversion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Analysis'!$D$1</c:f>
              <c:strCache>
                <c:ptCount val="1"/>
                <c:pt idx="0">
                  <c:v>Conversion Rate(%)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'performance Analysis'!$A$2:$A$6</c:f>
              <c:strCache>
                <c:ptCount val="5"/>
                <c:pt idx="0">
                  <c:v>Facebook Ads</c:v>
                </c:pt>
                <c:pt idx="1">
                  <c:v>Google Ads</c:v>
                </c:pt>
                <c:pt idx="2">
                  <c:v>Instagram Ads</c:v>
                </c:pt>
                <c:pt idx="3">
                  <c:v>Email Marketing</c:v>
                </c:pt>
                <c:pt idx="4">
                  <c:v>Website Organic</c:v>
                </c:pt>
              </c:strCache>
            </c:strRef>
          </c:cat>
          <c:val>
            <c:numRef>
              <c:f>'performance Analysis'!$D$2:$D$6</c:f>
              <c:numCache>
                <c:formatCode>0%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7.8048780487804876</c:v>
                </c:pt>
                <c:pt idx="3">
                  <c:v>30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7-4125-8369-42CA09A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5438720"/>
        <c:axId val="915439200"/>
      </c:barChart>
      <c:catAx>
        <c:axId val="91543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39200"/>
        <c:crosses val="autoZero"/>
        <c:auto val="1"/>
        <c:lblAlgn val="ctr"/>
        <c:lblOffset val="100"/>
        <c:noMultiLvlLbl val="0"/>
      </c:catAx>
      <c:valAx>
        <c:axId val="9154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3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8</xdr:row>
      <xdr:rowOff>148590</xdr:rowOff>
    </xdr:from>
    <xdr:to>
      <xdr:col>5</xdr:col>
      <xdr:colOff>137160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F30AE4-0086-71B1-101E-0AE53B832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8</xdr:row>
      <xdr:rowOff>156210</xdr:rowOff>
    </xdr:from>
    <xdr:to>
      <xdr:col>3</xdr:col>
      <xdr:colOff>1280160</xdr:colOff>
      <xdr:row>23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78F005-3E5C-FBA0-085A-EE2A83974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7</xdr:row>
      <xdr:rowOff>49530</xdr:rowOff>
    </xdr:from>
    <xdr:to>
      <xdr:col>3</xdr:col>
      <xdr:colOff>1173480</xdr:colOff>
      <xdr:row>22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19F172-0DD7-4D0B-8567-9438FA4CF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2E4F-2EE8-4B42-8F18-01976E35C849}">
  <dimension ref="A1:I26"/>
  <sheetViews>
    <sheetView topLeftCell="B1" zoomScale="101" workbookViewId="0">
      <selection activeCell="J3" sqref="J3"/>
    </sheetView>
  </sheetViews>
  <sheetFormatPr defaultRowHeight="14.4" x14ac:dyDescent="0.3"/>
  <cols>
    <col min="1" max="1" width="19.44140625" customWidth="1"/>
    <col min="2" max="2" width="18.44140625" customWidth="1"/>
    <col min="3" max="3" width="20.109375" customWidth="1"/>
    <col min="4" max="4" width="16.6640625" customWidth="1"/>
    <col min="5" max="5" width="17" customWidth="1"/>
    <col min="6" max="6" width="22.21875" customWidth="1"/>
    <col min="7" max="7" width="11.88671875" customWidth="1"/>
    <col min="8" max="8" width="15.21875" customWidth="1"/>
  </cols>
  <sheetData>
    <row r="1" spans="1:9" ht="17.39999999999999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69</v>
      </c>
    </row>
    <row r="2" spans="1:9" x14ac:dyDescent="0.3">
      <c r="A2" s="2" t="s">
        <v>8</v>
      </c>
      <c r="B2" s="2" t="s">
        <v>9</v>
      </c>
      <c r="C2" s="2" t="s">
        <v>10</v>
      </c>
      <c r="D2" s="2">
        <v>5000</v>
      </c>
      <c r="E2" s="2">
        <v>450</v>
      </c>
      <c r="F2" s="2">
        <v>9</v>
      </c>
      <c r="G2" s="2">
        <v>800</v>
      </c>
      <c r="H2" s="2">
        <v>0</v>
      </c>
      <c r="I2" s="2">
        <f>H2-G2</f>
        <v>-800</v>
      </c>
    </row>
    <row r="3" spans="1:9" x14ac:dyDescent="0.3">
      <c r="A3" s="2" t="s">
        <v>11</v>
      </c>
      <c r="B3" s="2" t="s">
        <v>9</v>
      </c>
      <c r="C3" s="2" t="s">
        <v>12</v>
      </c>
      <c r="D3" s="2">
        <v>6200</v>
      </c>
      <c r="E3" s="2">
        <v>620</v>
      </c>
      <c r="F3" s="2">
        <v>10</v>
      </c>
      <c r="G3" s="2">
        <v>1000</v>
      </c>
      <c r="H3" s="2">
        <v>0</v>
      </c>
      <c r="I3" s="2">
        <f t="shared" ref="I3:I26" si="0">H3-G3</f>
        <v>-1000</v>
      </c>
    </row>
    <row r="4" spans="1:9" x14ac:dyDescent="0.3">
      <c r="A4" s="2" t="s">
        <v>13</v>
      </c>
      <c r="B4" s="2" t="s">
        <v>9</v>
      </c>
      <c r="C4" s="2" t="s">
        <v>14</v>
      </c>
      <c r="D4" s="2">
        <v>4100</v>
      </c>
      <c r="E4" s="2">
        <v>320</v>
      </c>
      <c r="F4" s="2">
        <v>7.8</v>
      </c>
      <c r="G4" s="2">
        <v>650</v>
      </c>
      <c r="H4" s="2">
        <v>0</v>
      </c>
      <c r="I4" s="2">
        <f t="shared" si="0"/>
        <v>-650</v>
      </c>
    </row>
    <row r="5" spans="1:9" x14ac:dyDescent="0.3">
      <c r="A5" s="2" t="s">
        <v>15</v>
      </c>
      <c r="B5" s="2" t="s">
        <v>16</v>
      </c>
      <c r="C5" s="2" t="s">
        <v>17</v>
      </c>
      <c r="D5" s="2">
        <v>3500</v>
      </c>
      <c r="E5" s="2">
        <v>700</v>
      </c>
      <c r="F5" s="2">
        <v>20</v>
      </c>
      <c r="G5" s="2">
        <v>300</v>
      </c>
      <c r="H5" s="2">
        <v>0</v>
      </c>
      <c r="I5" s="2">
        <f t="shared" si="0"/>
        <v>-300</v>
      </c>
    </row>
    <row r="6" spans="1:9" x14ac:dyDescent="0.3">
      <c r="A6" s="2" t="s">
        <v>18</v>
      </c>
      <c r="B6" s="2" t="s">
        <v>16</v>
      </c>
      <c r="C6" s="2" t="s">
        <v>19</v>
      </c>
      <c r="D6" s="2">
        <v>2800</v>
      </c>
      <c r="E6" s="2">
        <v>840</v>
      </c>
      <c r="F6" s="2">
        <v>30</v>
      </c>
      <c r="G6" s="2">
        <v>200</v>
      </c>
      <c r="H6" s="2">
        <v>0</v>
      </c>
      <c r="I6" s="2">
        <f t="shared" si="0"/>
        <v>-200</v>
      </c>
    </row>
    <row r="7" spans="1:9" x14ac:dyDescent="0.3">
      <c r="A7" s="2" t="s">
        <v>20</v>
      </c>
      <c r="B7" s="2" t="s">
        <v>16</v>
      </c>
      <c r="C7" s="2" t="s">
        <v>21</v>
      </c>
      <c r="D7" s="2">
        <v>2600</v>
      </c>
      <c r="E7" s="2">
        <v>390</v>
      </c>
      <c r="F7" s="2">
        <v>15</v>
      </c>
      <c r="G7" s="2">
        <v>500</v>
      </c>
      <c r="H7" s="2">
        <v>0</v>
      </c>
      <c r="I7" s="2">
        <f t="shared" si="0"/>
        <v>-500</v>
      </c>
    </row>
    <row r="8" spans="1:9" x14ac:dyDescent="0.3">
      <c r="A8" s="2" t="s">
        <v>22</v>
      </c>
      <c r="B8" s="2" t="s">
        <v>23</v>
      </c>
      <c r="C8" s="2" t="s">
        <v>24</v>
      </c>
      <c r="D8" s="2">
        <v>2200</v>
      </c>
      <c r="E8" s="2">
        <v>550</v>
      </c>
      <c r="F8" s="2">
        <v>25</v>
      </c>
      <c r="G8" s="2">
        <v>450</v>
      </c>
      <c r="H8" s="2">
        <v>0</v>
      </c>
      <c r="I8" s="2">
        <f t="shared" si="0"/>
        <v>-450</v>
      </c>
    </row>
    <row r="9" spans="1:9" x14ac:dyDescent="0.3">
      <c r="A9" s="2" t="s">
        <v>25</v>
      </c>
      <c r="B9" s="2" t="s">
        <v>23</v>
      </c>
      <c r="C9" s="2" t="s">
        <v>26</v>
      </c>
      <c r="D9" s="2">
        <v>1900</v>
      </c>
      <c r="E9" s="2">
        <v>570</v>
      </c>
      <c r="F9" s="2">
        <v>30</v>
      </c>
      <c r="G9" s="2">
        <v>180</v>
      </c>
      <c r="H9" s="2">
        <v>0</v>
      </c>
      <c r="I9" s="2">
        <f t="shared" si="0"/>
        <v>-180</v>
      </c>
    </row>
    <row r="10" spans="1:9" x14ac:dyDescent="0.3">
      <c r="A10" s="2" t="s">
        <v>27</v>
      </c>
      <c r="B10" s="2" t="s">
        <v>23</v>
      </c>
      <c r="C10" s="2" t="s">
        <v>28</v>
      </c>
      <c r="D10" s="2">
        <v>3000</v>
      </c>
      <c r="E10" s="2">
        <v>360</v>
      </c>
      <c r="F10" s="2">
        <v>12</v>
      </c>
      <c r="G10" s="2">
        <v>700</v>
      </c>
      <c r="H10" s="2">
        <v>0</v>
      </c>
      <c r="I10" s="2">
        <f t="shared" si="0"/>
        <v>-700</v>
      </c>
    </row>
    <row r="11" spans="1:9" x14ac:dyDescent="0.3">
      <c r="A11" s="2" t="s">
        <v>29</v>
      </c>
      <c r="B11" s="2" t="s">
        <v>23</v>
      </c>
      <c r="C11" s="2" t="s">
        <v>30</v>
      </c>
      <c r="D11" s="2">
        <v>1700</v>
      </c>
      <c r="E11" s="2">
        <v>425</v>
      </c>
      <c r="F11" s="2">
        <v>25</v>
      </c>
      <c r="G11" s="2">
        <v>150</v>
      </c>
      <c r="H11" s="2">
        <v>0</v>
      </c>
      <c r="I11" s="2">
        <f t="shared" si="0"/>
        <v>-150</v>
      </c>
    </row>
    <row r="12" spans="1:9" x14ac:dyDescent="0.3">
      <c r="A12" s="2" t="s">
        <v>31</v>
      </c>
      <c r="B12" s="2" t="s">
        <v>32</v>
      </c>
      <c r="C12" s="2" t="s">
        <v>33</v>
      </c>
      <c r="D12" s="2">
        <v>1200</v>
      </c>
      <c r="E12" s="2">
        <v>360</v>
      </c>
      <c r="F12" s="2">
        <v>30</v>
      </c>
      <c r="G12" s="2">
        <v>0</v>
      </c>
      <c r="H12" s="2">
        <v>0</v>
      </c>
      <c r="I12" s="2">
        <f t="shared" si="0"/>
        <v>0</v>
      </c>
    </row>
    <row r="13" spans="1:9" x14ac:dyDescent="0.3">
      <c r="A13" s="2" t="s">
        <v>34</v>
      </c>
      <c r="B13" s="2" t="s">
        <v>32</v>
      </c>
      <c r="C13" s="2" t="s">
        <v>35</v>
      </c>
      <c r="D13" s="2">
        <v>900</v>
      </c>
      <c r="E13" s="2">
        <v>315</v>
      </c>
      <c r="F13" s="2">
        <v>35</v>
      </c>
      <c r="G13" s="2">
        <v>0</v>
      </c>
      <c r="H13" s="2">
        <v>0</v>
      </c>
      <c r="I13" s="2">
        <f t="shared" si="0"/>
        <v>0</v>
      </c>
    </row>
    <row r="14" spans="1:9" x14ac:dyDescent="0.3">
      <c r="A14" s="2" t="s">
        <v>36</v>
      </c>
      <c r="B14" s="2" t="s">
        <v>32</v>
      </c>
      <c r="C14" s="2" t="s">
        <v>37</v>
      </c>
      <c r="D14" s="2">
        <v>1500</v>
      </c>
      <c r="E14" s="2">
        <v>450</v>
      </c>
      <c r="F14" s="2">
        <v>30</v>
      </c>
      <c r="G14" s="2">
        <v>200</v>
      </c>
      <c r="H14" s="2">
        <v>0</v>
      </c>
      <c r="I14" s="2">
        <f t="shared" si="0"/>
        <v>-200</v>
      </c>
    </row>
    <row r="15" spans="1:9" x14ac:dyDescent="0.3">
      <c r="A15" s="2" t="s">
        <v>38</v>
      </c>
      <c r="B15" s="2" t="s">
        <v>32</v>
      </c>
      <c r="C15" s="2" t="s">
        <v>39</v>
      </c>
      <c r="D15" s="2">
        <v>1100</v>
      </c>
      <c r="E15" s="2">
        <v>275</v>
      </c>
      <c r="F15" s="2">
        <v>25</v>
      </c>
      <c r="G15" s="2">
        <v>300</v>
      </c>
      <c r="H15" s="2">
        <v>0</v>
      </c>
      <c r="I15" s="2">
        <f t="shared" si="0"/>
        <v>-300</v>
      </c>
    </row>
    <row r="16" spans="1:9" x14ac:dyDescent="0.3">
      <c r="A16" s="2" t="s">
        <v>40</v>
      </c>
      <c r="B16" s="2" t="s">
        <v>41</v>
      </c>
      <c r="C16" s="2" t="s">
        <v>42</v>
      </c>
      <c r="D16" s="2">
        <v>600</v>
      </c>
      <c r="E16" s="2">
        <v>210</v>
      </c>
      <c r="F16" s="2">
        <v>35</v>
      </c>
      <c r="G16" s="2">
        <v>0</v>
      </c>
      <c r="H16" s="2">
        <v>0</v>
      </c>
      <c r="I16" s="2">
        <f t="shared" si="0"/>
        <v>0</v>
      </c>
    </row>
    <row r="17" spans="1:9" x14ac:dyDescent="0.3">
      <c r="A17" s="2" t="s">
        <v>43</v>
      </c>
      <c r="B17" s="2" t="s">
        <v>41</v>
      </c>
      <c r="C17" s="2" t="s">
        <v>44</v>
      </c>
      <c r="D17" s="2">
        <v>520</v>
      </c>
      <c r="E17" s="2">
        <v>208</v>
      </c>
      <c r="F17" s="2">
        <v>40</v>
      </c>
      <c r="G17" s="2">
        <v>0</v>
      </c>
      <c r="H17" s="2">
        <v>0</v>
      </c>
      <c r="I17" s="2">
        <f t="shared" si="0"/>
        <v>0</v>
      </c>
    </row>
    <row r="18" spans="1:9" x14ac:dyDescent="0.3">
      <c r="A18" s="2" t="s">
        <v>45</v>
      </c>
      <c r="B18" s="2" t="s">
        <v>41</v>
      </c>
      <c r="C18" s="2" t="s">
        <v>46</v>
      </c>
      <c r="D18" s="2">
        <v>480</v>
      </c>
      <c r="E18" s="2">
        <v>192</v>
      </c>
      <c r="F18" s="2">
        <v>40</v>
      </c>
      <c r="G18" s="2">
        <v>0</v>
      </c>
      <c r="H18" s="2">
        <v>0</v>
      </c>
      <c r="I18" s="2">
        <f t="shared" si="0"/>
        <v>0</v>
      </c>
    </row>
    <row r="19" spans="1:9" x14ac:dyDescent="0.3">
      <c r="A19" s="2" t="s">
        <v>47</v>
      </c>
      <c r="B19" s="2" t="s">
        <v>48</v>
      </c>
      <c r="C19" s="2" t="s">
        <v>49</v>
      </c>
      <c r="D19" s="2">
        <v>350</v>
      </c>
      <c r="E19" s="2">
        <v>175</v>
      </c>
      <c r="F19" s="2">
        <v>50</v>
      </c>
      <c r="G19" s="2">
        <v>0</v>
      </c>
      <c r="H19" s="2">
        <v>5250</v>
      </c>
      <c r="I19" s="2">
        <f t="shared" si="0"/>
        <v>5250</v>
      </c>
    </row>
    <row r="20" spans="1:9" x14ac:dyDescent="0.3">
      <c r="A20" s="2" t="s">
        <v>50</v>
      </c>
      <c r="B20" s="2" t="s">
        <v>48</v>
      </c>
      <c r="C20" s="2" t="s">
        <v>51</v>
      </c>
      <c r="D20" s="2">
        <v>300</v>
      </c>
      <c r="E20" s="2">
        <v>165</v>
      </c>
      <c r="F20" s="2">
        <v>55</v>
      </c>
      <c r="G20" s="2">
        <v>0</v>
      </c>
      <c r="H20" s="2">
        <v>4950</v>
      </c>
      <c r="I20" s="2">
        <f t="shared" si="0"/>
        <v>4950</v>
      </c>
    </row>
    <row r="21" spans="1:9" x14ac:dyDescent="0.3">
      <c r="A21" s="2" t="s">
        <v>52</v>
      </c>
      <c r="B21" s="2" t="s">
        <v>48</v>
      </c>
      <c r="C21" s="2" t="s">
        <v>53</v>
      </c>
      <c r="D21" s="2">
        <v>280</v>
      </c>
      <c r="E21" s="2">
        <v>140</v>
      </c>
      <c r="F21" s="2">
        <v>50</v>
      </c>
      <c r="G21" s="2">
        <v>80</v>
      </c>
      <c r="H21" s="2">
        <v>4200</v>
      </c>
      <c r="I21" s="2">
        <f t="shared" si="0"/>
        <v>4120</v>
      </c>
    </row>
    <row r="22" spans="1:9" x14ac:dyDescent="0.3">
      <c r="A22" s="2" t="s">
        <v>54</v>
      </c>
      <c r="B22" s="2" t="s">
        <v>55</v>
      </c>
      <c r="C22" s="2" t="s">
        <v>56</v>
      </c>
      <c r="D22" s="2">
        <v>240</v>
      </c>
      <c r="E22" s="2">
        <v>240</v>
      </c>
      <c r="F22" s="2">
        <v>100</v>
      </c>
      <c r="G22" s="2">
        <v>0</v>
      </c>
      <c r="H22" s="2">
        <v>7200</v>
      </c>
      <c r="I22" s="2">
        <f t="shared" si="0"/>
        <v>7200</v>
      </c>
    </row>
    <row r="23" spans="1:9" x14ac:dyDescent="0.3">
      <c r="A23" s="2" t="s">
        <v>57</v>
      </c>
      <c r="B23" s="2" t="s">
        <v>55</v>
      </c>
      <c r="C23" s="2" t="s">
        <v>58</v>
      </c>
      <c r="D23" s="2">
        <v>180</v>
      </c>
      <c r="E23" s="2">
        <v>180</v>
      </c>
      <c r="F23" s="2">
        <v>100</v>
      </c>
      <c r="G23" s="2">
        <v>0</v>
      </c>
      <c r="H23" s="2">
        <v>9000</v>
      </c>
      <c r="I23" s="2">
        <f t="shared" si="0"/>
        <v>9000</v>
      </c>
    </row>
    <row r="24" spans="1:9" x14ac:dyDescent="0.3">
      <c r="A24" s="2" t="s">
        <v>59</v>
      </c>
      <c r="B24" s="2" t="s">
        <v>55</v>
      </c>
      <c r="C24" s="2" t="s">
        <v>60</v>
      </c>
      <c r="D24" s="2">
        <v>210</v>
      </c>
      <c r="E24" s="2">
        <v>210</v>
      </c>
      <c r="F24" s="2">
        <v>100</v>
      </c>
      <c r="G24" s="2">
        <v>0</v>
      </c>
      <c r="H24" s="2">
        <v>6300</v>
      </c>
      <c r="I24" s="2">
        <f t="shared" si="0"/>
        <v>6300</v>
      </c>
    </row>
    <row r="25" spans="1:9" x14ac:dyDescent="0.3">
      <c r="A25" s="2" t="s">
        <v>61</v>
      </c>
      <c r="B25" s="2" t="s">
        <v>62</v>
      </c>
      <c r="C25" s="2" t="s">
        <v>63</v>
      </c>
      <c r="D25" s="2">
        <v>160</v>
      </c>
      <c r="E25" s="2">
        <v>64</v>
      </c>
      <c r="F25" s="2">
        <v>40</v>
      </c>
      <c r="G25" s="2">
        <v>100</v>
      </c>
      <c r="H25" s="2">
        <v>3200</v>
      </c>
      <c r="I25" s="2">
        <f t="shared" si="0"/>
        <v>3100</v>
      </c>
    </row>
    <row r="26" spans="1:9" x14ac:dyDescent="0.3">
      <c r="A26" s="2" t="s">
        <v>64</v>
      </c>
      <c r="B26" s="2" t="s">
        <v>62</v>
      </c>
      <c r="C26" s="2" t="s">
        <v>65</v>
      </c>
      <c r="D26" s="2">
        <v>140</v>
      </c>
      <c r="E26" s="2">
        <v>98</v>
      </c>
      <c r="F26" s="2">
        <v>70</v>
      </c>
      <c r="G26" s="2">
        <v>120</v>
      </c>
      <c r="H26" s="2">
        <v>4900</v>
      </c>
      <c r="I26" s="2">
        <f t="shared" si="0"/>
        <v>4780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FF14-7289-432F-AD43-712838D7B9F5}">
  <dimension ref="A1:D8"/>
  <sheetViews>
    <sheetView workbookViewId="0">
      <selection activeCell="G20" sqref="G20"/>
    </sheetView>
  </sheetViews>
  <sheetFormatPr defaultRowHeight="14.4" x14ac:dyDescent="0.3"/>
  <cols>
    <col min="1" max="1" width="18.21875" customWidth="1"/>
    <col min="2" max="2" width="16.44140625" customWidth="1"/>
    <col min="3" max="3" width="17.33203125" customWidth="1"/>
  </cols>
  <sheetData>
    <row r="1" spans="1:4" ht="17.399999999999999" x14ac:dyDescent="0.45">
      <c r="A1" s="1" t="s">
        <v>1</v>
      </c>
      <c r="B1" s="1" t="s">
        <v>70</v>
      </c>
      <c r="C1" s="1" t="s">
        <v>71</v>
      </c>
      <c r="D1" s="1" t="s">
        <v>69</v>
      </c>
    </row>
    <row r="2" spans="1:4" x14ac:dyDescent="0.3">
      <c r="A2" s="2" t="s">
        <v>9</v>
      </c>
      <c r="B2" s="2">
        <f>SUMIF(Sheet1!B:B,A2,Sheet1!G:G)</f>
        <v>2450</v>
      </c>
      <c r="C2" s="2">
        <f>SUMIF(Sheet1!B:B,A2,Sheet1!H:H)</f>
        <v>0</v>
      </c>
      <c r="D2" s="2">
        <f>C2-B2</f>
        <v>-2450</v>
      </c>
    </row>
    <row r="3" spans="1:4" x14ac:dyDescent="0.3">
      <c r="A3" s="2" t="s">
        <v>16</v>
      </c>
      <c r="B3" s="2">
        <f>SUMIF(Sheet1!B:B,A3,Sheet1!G:G)</f>
        <v>1000</v>
      </c>
      <c r="C3" s="2">
        <f>SUMIF(Sheet1!B:B,A3,Sheet1!H:H)</f>
        <v>0</v>
      </c>
      <c r="D3" s="2">
        <f t="shared" ref="D3:D8" si="0">C3-B3</f>
        <v>-1000</v>
      </c>
    </row>
    <row r="4" spans="1:4" x14ac:dyDescent="0.3">
      <c r="A4" s="2" t="s">
        <v>23</v>
      </c>
      <c r="B4" s="2">
        <f>SUMIF(Sheet1!B:B,A4,Sheet1!G:G)</f>
        <v>1480</v>
      </c>
      <c r="C4" s="2">
        <f>SUMIF(Sheet1!B:B,A4,Sheet1!H:H)</f>
        <v>0</v>
      </c>
      <c r="D4" s="2">
        <f t="shared" si="0"/>
        <v>-1480</v>
      </c>
    </row>
    <row r="5" spans="1:4" x14ac:dyDescent="0.3">
      <c r="A5" s="2" t="s">
        <v>32</v>
      </c>
      <c r="B5" s="2">
        <f>SUMIF(Sheet1!B:B,A5,Sheet1!G:G)</f>
        <v>500</v>
      </c>
      <c r="C5" s="2">
        <f>SUMIF(Sheet1!B:B,A5,Sheet1!H:H)</f>
        <v>0</v>
      </c>
      <c r="D5" s="2">
        <f t="shared" si="0"/>
        <v>-500</v>
      </c>
    </row>
    <row r="6" spans="1:4" x14ac:dyDescent="0.3">
      <c r="A6" s="2" t="s">
        <v>41</v>
      </c>
      <c r="B6" s="2">
        <f>SUMIF(Sheet1!B:B,A6,Sheet1!G:G)</f>
        <v>0</v>
      </c>
      <c r="C6" s="2">
        <f>SUMIF(Sheet1!B:B,A6,Sheet1!H:H)</f>
        <v>0</v>
      </c>
      <c r="D6" s="2">
        <f t="shared" si="0"/>
        <v>0</v>
      </c>
    </row>
    <row r="7" spans="1:4" x14ac:dyDescent="0.3">
      <c r="A7" s="2" t="s">
        <v>55</v>
      </c>
      <c r="B7" s="2">
        <f>SUMIF(Sheet1!B:B,A7,Sheet1!G:G)</f>
        <v>0</v>
      </c>
      <c r="C7" s="2">
        <f>SUMIF(Sheet1!B:B,A7,Sheet1!H:H)</f>
        <v>22500</v>
      </c>
      <c r="D7" s="2">
        <f t="shared" si="0"/>
        <v>22500</v>
      </c>
    </row>
    <row r="8" spans="1:4" x14ac:dyDescent="0.3">
      <c r="A8" s="2" t="s">
        <v>62</v>
      </c>
      <c r="B8" s="2">
        <f>SUMIF(Sheet1!B:B,A8,Sheet1!G:G)</f>
        <v>220</v>
      </c>
      <c r="C8" s="2">
        <f>SUMIF(Sheet1!B:B,A8,Sheet1!H:H)</f>
        <v>8100</v>
      </c>
      <c r="D8" s="2">
        <f t="shared" si="0"/>
        <v>7880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E552-7519-42E8-AD7A-F8119A8EB58A}">
  <dimension ref="A1:D8"/>
  <sheetViews>
    <sheetView tabSelected="1" workbookViewId="0">
      <selection activeCell="I17" sqref="I17"/>
    </sheetView>
  </sheetViews>
  <sheetFormatPr defaultRowHeight="14.4" x14ac:dyDescent="0.3"/>
  <cols>
    <col min="1" max="1" width="17.77734375" customWidth="1"/>
    <col min="2" max="2" width="16.5546875" customWidth="1"/>
    <col min="3" max="3" width="21.88671875" customWidth="1"/>
    <col min="4" max="4" width="21.44140625" customWidth="1"/>
  </cols>
  <sheetData>
    <row r="1" spans="1:4" ht="17.399999999999999" x14ac:dyDescent="0.45">
      <c r="A1" s="1" t="s">
        <v>1</v>
      </c>
      <c r="B1" s="1" t="s">
        <v>66</v>
      </c>
      <c r="C1" s="1" t="s">
        <v>67</v>
      </c>
      <c r="D1" s="1" t="s">
        <v>68</v>
      </c>
    </row>
    <row r="2" spans="1:4" x14ac:dyDescent="0.3">
      <c r="A2" s="2" t="s">
        <v>9</v>
      </c>
      <c r="B2" s="2">
        <f>SUMIF(Sheet1!B:B,A2,Sheet1!D:D)</f>
        <v>15300</v>
      </c>
      <c r="C2" s="2">
        <f>SUMIF(Sheet1!B:B,A2,Sheet1!E:E)</f>
        <v>1390</v>
      </c>
      <c r="D2" s="3">
        <f>C2/B2*100</f>
        <v>9.0849673202614376</v>
      </c>
    </row>
    <row r="3" spans="1:4" x14ac:dyDescent="0.3">
      <c r="A3" s="2" t="s">
        <v>16</v>
      </c>
      <c r="B3" s="2">
        <f>SUMIF(Sheet1!B:B,A3,Sheet1!D:D)</f>
        <v>8900</v>
      </c>
      <c r="C3" s="2">
        <f>SUMIF(Sheet1!B:B,A3,Sheet1!E:E)</f>
        <v>1930</v>
      </c>
      <c r="D3" s="3">
        <f t="shared" ref="D3:D8" si="0">C3/B3*100</f>
        <v>21.685393258426966</v>
      </c>
    </row>
    <row r="4" spans="1:4" x14ac:dyDescent="0.3">
      <c r="A4" s="2" t="s">
        <v>23</v>
      </c>
      <c r="B4" s="2">
        <f>SUMIF(Sheet1!B:B,A4,Sheet1!D:D)</f>
        <v>8800</v>
      </c>
      <c r="C4" s="2">
        <f>SUMIF(Sheet1!B:B,A4,Sheet1!E:E)</f>
        <v>1905</v>
      </c>
      <c r="D4" s="3">
        <f t="shared" si="0"/>
        <v>21.647727272727273</v>
      </c>
    </row>
    <row r="5" spans="1:4" x14ac:dyDescent="0.3">
      <c r="A5" s="2" t="s">
        <v>32</v>
      </c>
      <c r="B5" s="2">
        <f>SUMIF(Sheet1!B:B,A5,Sheet1!D:D)</f>
        <v>4700</v>
      </c>
      <c r="C5" s="2">
        <f>SUMIF(Sheet1!B:B,A5,Sheet1!E:E)</f>
        <v>1400</v>
      </c>
      <c r="D5" s="3">
        <f t="shared" si="0"/>
        <v>29.787234042553191</v>
      </c>
    </row>
    <row r="6" spans="1:4" x14ac:dyDescent="0.3">
      <c r="A6" s="2" t="s">
        <v>41</v>
      </c>
      <c r="B6" s="2">
        <f>SUMIF(Sheet1!B:B,A6,Sheet1!D:D)</f>
        <v>1600</v>
      </c>
      <c r="C6" s="2">
        <f>SUMIF(Sheet1!B:B,A6,Sheet1!E:E)</f>
        <v>610</v>
      </c>
      <c r="D6" s="3">
        <f t="shared" si="0"/>
        <v>38.125</v>
      </c>
    </row>
    <row r="7" spans="1:4" x14ac:dyDescent="0.3">
      <c r="A7" s="2" t="s">
        <v>55</v>
      </c>
      <c r="B7" s="2">
        <f>SUMIF(Sheet1!B:B,A7,Sheet1!D:D)</f>
        <v>630</v>
      </c>
      <c r="C7" s="2">
        <f>SUMIF(Sheet1!B:B,A7,Sheet1!E:E)</f>
        <v>630</v>
      </c>
      <c r="D7" s="3">
        <f t="shared" si="0"/>
        <v>100</v>
      </c>
    </row>
    <row r="8" spans="1:4" x14ac:dyDescent="0.3">
      <c r="A8" s="2" t="s">
        <v>62</v>
      </c>
      <c r="B8" s="2">
        <f>SUMIF(Sheet1!B:B,A8,Sheet1!D:D)</f>
        <v>300</v>
      </c>
      <c r="C8" s="2">
        <f>SUMIF(Sheet1!B:B,A8,Sheet1!E:E)</f>
        <v>162</v>
      </c>
      <c r="D8" s="3">
        <f t="shared" si="0"/>
        <v>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C95F-ED0B-40C1-B444-0BE103791A4C}">
  <dimension ref="A1:D6"/>
  <sheetViews>
    <sheetView workbookViewId="0">
      <selection activeCell="G17" sqref="G17"/>
    </sheetView>
  </sheetViews>
  <sheetFormatPr defaultRowHeight="14.4" x14ac:dyDescent="0.3"/>
  <cols>
    <col min="1" max="1" width="16.44140625" customWidth="1"/>
    <col min="2" max="2" width="17.77734375" customWidth="1"/>
    <col min="3" max="3" width="21.77734375" customWidth="1"/>
    <col min="4" max="4" width="25.77734375" customWidth="1"/>
  </cols>
  <sheetData>
    <row r="1" spans="1:4" ht="17.399999999999999" x14ac:dyDescent="0.45">
      <c r="A1" s="1" t="s">
        <v>2</v>
      </c>
      <c r="B1" s="1" t="s">
        <v>66</v>
      </c>
      <c r="C1" s="1" t="s">
        <v>67</v>
      </c>
      <c r="D1" s="1" t="s">
        <v>68</v>
      </c>
    </row>
    <row r="2" spans="1:4" x14ac:dyDescent="0.3">
      <c r="A2" s="2" t="s">
        <v>10</v>
      </c>
      <c r="B2" s="2">
        <f>SUMIF(Sheet1!C:C,A2,Sheet1!D:D)</f>
        <v>5000</v>
      </c>
      <c r="C2" s="2">
        <f>SUMIF(Sheet1!C:C,A2,Sheet1!E:E)</f>
        <v>450</v>
      </c>
      <c r="D2" s="3">
        <f>C2/B2*100</f>
        <v>9</v>
      </c>
    </row>
    <row r="3" spans="1:4" x14ac:dyDescent="0.3">
      <c r="A3" s="2" t="s">
        <v>12</v>
      </c>
      <c r="B3" s="2">
        <f>SUMIF(Sheet1!C:C,A3,Sheet1!D:D)</f>
        <v>6200</v>
      </c>
      <c r="C3" s="2">
        <f>SUMIF(Sheet1!C:C,A3,Sheet1!E:E)</f>
        <v>620</v>
      </c>
      <c r="D3" s="3">
        <f t="shared" ref="D3:D6" si="0">C3/B3*100</f>
        <v>10</v>
      </c>
    </row>
    <row r="4" spans="1:4" x14ac:dyDescent="0.3">
      <c r="A4" s="2" t="s">
        <v>14</v>
      </c>
      <c r="B4" s="2">
        <f>SUMIF(Sheet1!C:C,A4,Sheet1!D:D)</f>
        <v>4100</v>
      </c>
      <c r="C4" s="2">
        <f>SUMIF(Sheet1!C:C,A4,Sheet1!E:E)</f>
        <v>320</v>
      </c>
      <c r="D4" s="3">
        <f t="shared" si="0"/>
        <v>7.8048780487804876</v>
      </c>
    </row>
    <row r="5" spans="1:4" x14ac:dyDescent="0.3">
      <c r="A5" s="2" t="s">
        <v>19</v>
      </c>
      <c r="B5" s="2">
        <f>SUMIF(Sheet1!C:C,A5,Sheet1!D:D)</f>
        <v>2800</v>
      </c>
      <c r="C5" s="2">
        <f>SUMIF(Sheet1!C:C,A5,Sheet1!E:E)</f>
        <v>840</v>
      </c>
      <c r="D5" s="3">
        <f t="shared" si="0"/>
        <v>30</v>
      </c>
    </row>
    <row r="6" spans="1:4" x14ac:dyDescent="0.3">
      <c r="A6" s="2" t="s">
        <v>17</v>
      </c>
      <c r="B6" s="2">
        <f>SUMIF(Sheet1!C:C,A6,Sheet1!D:D)</f>
        <v>3500</v>
      </c>
      <c r="C6" s="2">
        <f>SUMIF(Sheet1!C:C,A6,Sheet1!E:E)</f>
        <v>700</v>
      </c>
      <c r="D6" s="3">
        <f t="shared" si="0"/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5059-7FE3-4E23-89FC-4A0DAFFE62C3}">
  <dimension ref="A1:H6"/>
  <sheetViews>
    <sheetView workbookViewId="0">
      <selection activeCell="C13" sqref="C13"/>
    </sheetView>
  </sheetViews>
  <sheetFormatPr defaultRowHeight="14.4" x14ac:dyDescent="0.3"/>
  <sheetData>
    <row r="1" spans="1:8" ht="17.399999999999999" x14ac:dyDescent="0.45">
      <c r="A1" s="1" t="s">
        <v>77</v>
      </c>
      <c r="B1" s="1"/>
    </row>
    <row r="2" spans="1:8" x14ac:dyDescent="0.3">
      <c r="A2" s="2" t="s">
        <v>72</v>
      </c>
      <c r="B2" s="2"/>
      <c r="C2" s="2"/>
      <c r="D2" s="2"/>
      <c r="E2" s="2"/>
      <c r="F2" s="2"/>
      <c r="G2" s="2"/>
      <c r="H2" s="2"/>
    </row>
    <row r="3" spans="1:8" x14ac:dyDescent="0.3">
      <c r="A3" s="2" t="s">
        <v>73</v>
      </c>
      <c r="B3" s="2"/>
      <c r="C3" s="2"/>
      <c r="D3" s="2"/>
      <c r="E3" s="2"/>
      <c r="F3" s="2"/>
      <c r="G3" s="2"/>
      <c r="H3" s="2"/>
    </row>
    <row r="4" spans="1:8" x14ac:dyDescent="0.3">
      <c r="A4" s="2" t="s">
        <v>74</v>
      </c>
      <c r="B4" s="2"/>
      <c r="C4" s="2"/>
      <c r="D4" s="2"/>
      <c r="E4" s="2"/>
      <c r="F4" s="2"/>
      <c r="G4" s="2"/>
      <c r="H4" s="2"/>
    </row>
    <row r="5" spans="1:8" x14ac:dyDescent="0.3">
      <c r="A5" s="2" t="s">
        <v>75</v>
      </c>
      <c r="B5" s="2"/>
      <c r="C5" s="2"/>
      <c r="D5" s="2"/>
      <c r="E5" s="2"/>
      <c r="F5" s="2"/>
      <c r="G5" s="2"/>
      <c r="H5" s="2"/>
    </row>
    <row r="6" spans="1:8" x14ac:dyDescent="0.3">
      <c r="A6" s="2" t="s">
        <v>76</v>
      </c>
      <c r="B6" s="2"/>
      <c r="C6" s="2"/>
      <c r="D6" s="2"/>
      <c r="E6" s="2"/>
      <c r="F6" s="2"/>
      <c r="G6" s="2"/>
      <c r="H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Cost Revenue Summary</vt:lpstr>
      <vt:lpstr>Funnel Summary</vt:lpstr>
      <vt:lpstr>performance Analysis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Chavidi Sravanthi</dc:creator>
  <cp:lastModifiedBy>Chavidi Sravanthi</cp:lastModifiedBy>
  <dcterms:created xsi:type="dcterms:W3CDTF">2026-01-24T05:03:09Z</dcterms:created>
  <dcterms:modified xsi:type="dcterms:W3CDTF">2026-02-02T16:37:02Z</dcterms:modified>
</cp:coreProperties>
</file>